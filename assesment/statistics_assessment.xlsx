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SORATE DURVESH\Downloads\"/>
    </mc:Choice>
  </mc:AlternateContent>
  <xr:revisionPtr revIDLastSave="0" documentId="13_ncr:1_{529DF060-C122-439B-AA59-618D6B8F7C23}" xr6:coauthVersionLast="47" xr6:coauthVersionMax="47" xr10:uidLastSave="{00000000-0000-0000-0000-000000000000}"/>
  <bookViews>
    <workbookView xWindow="-108" yWindow="-108" windowWidth="23256" windowHeight="12456" xr2:uid="{507D1673-F189-4121-872A-F1E463B17E7C}"/>
  </bookViews>
  <sheets>
    <sheet name="statistics assessmen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2" i="1" l="1"/>
  <c r="F23" i="1"/>
  <c r="O30" i="1"/>
  <c r="O29" i="1"/>
  <c r="O28" i="1"/>
  <c r="O27" i="1"/>
  <c r="O26" i="1"/>
  <c r="O25" i="1"/>
  <c r="O24" i="1"/>
  <c r="O23" i="1"/>
  <c r="O22" i="1"/>
  <c r="O21" i="1"/>
  <c r="O20" i="1"/>
  <c r="O19" i="1"/>
  <c r="O18" i="1"/>
  <c r="O17" i="1"/>
  <c r="F22" i="1"/>
  <c r="F21" i="1"/>
  <c r="F20" i="1"/>
  <c r="F19" i="1"/>
</calcChain>
</file>

<file path=xl/sharedStrings.xml><?xml version="1.0" encoding="utf-8"?>
<sst xmlns="http://schemas.openxmlformats.org/spreadsheetml/2006/main" count="40" uniqueCount="38">
  <si>
    <t xml:space="preserve">Ans </t>
  </si>
  <si>
    <t xml:space="preserve">Step </t>
  </si>
  <si>
    <t>calculation</t>
  </si>
  <si>
    <t>result</t>
  </si>
  <si>
    <t xml:space="preserve">mean girls </t>
  </si>
  <si>
    <t xml:space="preserve">SD girls </t>
  </si>
  <si>
    <t>n girls</t>
  </si>
  <si>
    <t>mean boys</t>
  </si>
  <si>
    <t>SD boys</t>
  </si>
  <si>
    <t>n boys</t>
  </si>
  <si>
    <t>standard error</t>
  </si>
  <si>
    <t>T- statistics</t>
  </si>
  <si>
    <t>degree of freedom</t>
  </si>
  <si>
    <t>critical t-value</t>
  </si>
  <si>
    <t>decision</t>
  </si>
  <si>
    <t>step</t>
  </si>
  <si>
    <t>category</t>
  </si>
  <si>
    <t xml:space="preserve">smokers with cancer </t>
  </si>
  <si>
    <t>smokers without cancer</t>
  </si>
  <si>
    <t>non-smokers with cancer</t>
  </si>
  <si>
    <t>non-smoker without cancer</t>
  </si>
  <si>
    <t xml:space="preserve">total smokers </t>
  </si>
  <si>
    <t>total non-smoker</t>
  </si>
  <si>
    <t xml:space="preserve">total cancer </t>
  </si>
  <si>
    <t>total non-cancer</t>
  </si>
  <si>
    <t xml:space="preserve">grand total </t>
  </si>
  <si>
    <t>expected smokers with cancer</t>
  </si>
  <si>
    <t>expected smokers without cancer</t>
  </si>
  <si>
    <t>expected non-smokers with cancer</t>
  </si>
  <si>
    <t>expected non-smokers without cancer</t>
  </si>
  <si>
    <t>chi-square component 1</t>
  </si>
  <si>
    <t>chi-square component 2</t>
  </si>
  <si>
    <t>chi-square component 3</t>
  </si>
  <si>
    <t>chi-square component 4</t>
  </si>
  <si>
    <t>chi-square statistic</t>
  </si>
  <si>
    <t>degrees of freedom</t>
  </si>
  <si>
    <t>critical chi-square</t>
  </si>
  <si>
    <t>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</si>
</sst>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487680</xdr:colOff>
      <xdr:row>5</xdr:row>
      <xdr:rowOff>129540</xdr:rowOff>
    </xdr:from>
    <xdr:to>
      <xdr:col>8</xdr:col>
      <xdr:colOff>594360</xdr:colOff>
      <xdr:row>10</xdr:row>
      <xdr:rowOff>7620</xdr:rowOff>
    </xdr:to>
    <xdr:sp macro="" textlink="">
      <xdr:nvSpPr>
        <xdr:cNvPr id="2" name="TextBox 1">
          <a:extLst>
            <a:ext uri="{FF2B5EF4-FFF2-40B4-BE49-F238E27FC236}">
              <a16:creationId xmlns:a16="http://schemas.microsoft.com/office/drawing/2014/main" id="{4656A6A5-486B-EB38-655F-1BEC442EE3FD}"/>
            </a:ext>
          </a:extLst>
        </xdr:cNvPr>
        <xdr:cNvSpPr txBox="1"/>
      </xdr:nvSpPr>
      <xdr:spPr>
        <a:xfrm>
          <a:off x="1706880" y="1043940"/>
          <a:ext cx="3764280" cy="7924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Question 1. There is an assumption that there is no significant difference between boys and girls with respect to intelligence. Tests are conducted on two groups and the following are the observations </a:t>
          </a:r>
          <a:endParaRPr lang="en-IN" sz="1100"/>
        </a:p>
      </xdr:txBody>
    </xdr:sp>
    <xdr:clientData/>
  </xdr:twoCellAnchor>
  <xdr:twoCellAnchor>
    <xdr:from>
      <xdr:col>11</xdr:col>
      <xdr:colOff>166488</xdr:colOff>
      <xdr:row>6</xdr:row>
      <xdr:rowOff>64033</xdr:rowOff>
    </xdr:from>
    <xdr:to>
      <xdr:col>17</xdr:col>
      <xdr:colOff>12807</xdr:colOff>
      <xdr:row>9</xdr:row>
      <xdr:rowOff>57631</xdr:rowOff>
    </xdr:to>
    <xdr:sp macro="" textlink="">
      <xdr:nvSpPr>
        <xdr:cNvPr id="3" name="TextBox 2">
          <a:extLst>
            <a:ext uri="{FF2B5EF4-FFF2-40B4-BE49-F238E27FC236}">
              <a16:creationId xmlns:a16="http://schemas.microsoft.com/office/drawing/2014/main" id="{4655F51C-56BE-51A6-E79E-2991828A6FF7}"/>
            </a:ext>
          </a:extLst>
        </xdr:cNvPr>
        <xdr:cNvSpPr txBox="1"/>
      </xdr:nvSpPr>
      <xdr:spPr>
        <a:xfrm>
          <a:off x="7331849" y="1178218"/>
          <a:ext cx="3496235" cy="5506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Question 2. Analyze the below data and tell whether you can conclude that smoking causes cancer or not? </a:t>
          </a:r>
        </a:p>
        <a:p>
          <a:endParaRPr lang="en-IN"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12956-D7D1-4881-8B98-9A3E5CF766C8}">
  <dimension ref="C11:O32"/>
  <sheetViews>
    <sheetView tabSelected="1" topLeftCell="A5" zoomScale="78" workbookViewId="0">
      <selection activeCell="O35" sqref="O35"/>
    </sheetView>
  </sheetViews>
  <sheetFormatPr defaultRowHeight="14.4" x14ac:dyDescent="0.3"/>
  <cols>
    <col min="5" max="5" width="15.77734375" customWidth="1"/>
    <col min="6" max="6" width="10.77734375" customWidth="1"/>
    <col min="14" max="14" width="33.88671875" bestFit="1" customWidth="1"/>
    <col min="15" max="15" width="12.109375" bestFit="1" customWidth="1"/>
  </cols>
  <sheetData>
    <row r="11" spans="3:15" x14ac:dyDescent="0.3">
      <c r="L11" t="s">
        <v>0</v>
      </c>
      <c r="M11" t="s">
        <v>15</v>
      </c>
      <c r="N11" t="s">
        <v>16</v>
      </c>
      <c r="O11" t="s">
        <v>37</v>
      </c>
    </row>
    <row r="12" spans="3:15" x14ac:dyDescent="0.3">
      <c r="C12" t="s">
        <v>0</v>
      </c>
      <c r="D12" t="s">
        <v>1</v>
      </c>
      <c r="E12" t="s">
        <v>2</v>
      </c>
      <c r="F12" t="s">
        <v>3</v>
      </c>
      <c r="M12">
        <v>1</v>
      </c>
      <c r="N12" t="s">
        <v>17</v>
      </c>
      <c r="O12">
        <v>220</v>
      </c>
    </row>
    <row r="13" spans="3:15" x14ac:dyDescent="0.3">
      <c r="D13">
        <v>1</v>
      </c>
      <c r="E13" t="s">
        <v>4</v>
      </c>
      <c r="F13">
        <v>89</v>
      </c>
      <c r="M13">
        <v>2</v>
      </c>
      <c r="N13" t="s">
        <v>18</v>
      </c>
      <c r="O13">
        <v>230</v>
      </c>
    </row>
    <row r="14" spans="3:15" x14ac:dyDescent="0.3">
      <c r="D14">
        <v>2</v>
      </c>
      <c r="E14" t="s">
        <v>5</v>
      </c>
      <c r="F14">
        <v>4</v>
      </c>
      <c r="M14">
        <v>3</v>
      </c>
      <c r="N14" t="s">
        <v>19</v>
      </c>
      <c r="O14">
        <v>350</v>
      </c>
    </row>
    <row r="15" spans="3:15" x14ac:dyDescent="0.3">
      <c r="D15">
        <v>3</v>
      </c>
      <c r="E15" t="s">
        <v>6</v>
      </c>
      <c r="F15">
        <v>50</v>
      </c>
      <c r="M15">
        <v>4</v>
      </c>
      <c r="N15" t="s">
        <v>20</v>
      </c>
      <c r="O15">
        <v>640</v>
      </c>
    </row>
    <row r="16" spans="3:15" x14ac:dyDescent="0.3">
      <c r="D16">
        <v>4</v>
      </c>
      <c r="E16" t="s">
        <v>7</v>
      </c>
      <c r="F16">
        <v>82</v>
      </c>
      <c r="M16">
        <v>5</v>
      </c>
      <c r="N16" t="s">
        <v>21</v>
      </c>
      <c r="O16">
        <v>450</v>
      </c>
    </row>
    <row r="17" spans="4:15" x14ac:dyDescent="0.3">
      <c r="D17">
        <v>5</v>
      </c>
      <c r="E17" t="s">
        <v>8</v>
      </c>
      <c r="F17">
        <v>9</v>
      </c>
      <c r="M17">
        <v>6</v>
      </c>
      <c r="N17" t="s">
        <v>22</v>
      </c>
      <c r="O17">
        <f>O15+O14</f>
        <v>990</v>
      </c>
    </row>
    <row r="18" spans="4:15" x14ac:dyDescent="0.3">
      <c r="D18">
        <v>6</v>
      </c>
      <c r="E18" t="s">
        <v>9</v>
      </c>
      <c r="F18">
        <v>120</v>
      </c>
      <c r="M18">
        <v>7</v>
      </c>
      <c r="N18" t="s">
        <v>23</v>
      </c>
      <c r="O18">
        <f>O12+O14</f>
        <v>570</v>
      </c>
    </row>
    <row r="19" spans="4:15" x14ac:dyDescent="0.3">
      <c r="D19">
        <v>7</v>
      </c>
      <c r="E19" t="s">
        <v>10</v>
      </c>
      <c r="F19">
        <f>SQRT((F14^2/F15)+(F17^2/F18))</f>
        <v>0.99749686716300023</v>
      </c>
      <c r="M19">
        <v>8</v>
      </c>
      <c r="N19" t="s">
        <v>24</v>
      </c>
      <c r="O19">
        <f>O13+O15</f>
        <v>870</v>
      </c>
    </row>
    <row r="20" spans="4:15" x14ac:dyDescent="0.3">
      <c r="D20">
        <v>8</v>
      </c>
      <c r="E20" t="s">
        <v>11</v>
      </c>
      <c r="F20">
        <f>(F13-F16)/F19</f>
        <v>7.0175658996391963</v>
      </c>
      <c r="M20">
        <v>9</v>
      </c>
      <c r="N20" t="s">
        <v>25</v>
      </c>
      <c r="O20">
        <f>O16+O17</f>
        <v>1440</v>
      </c>
    </row>
    <row r="21" spans="4:15" x14ac:dyDescent="0.3">
      <c r="D21">
        <v>9</v>
      </c>
      <c r="E21" t="s">
        <v>12</v>
      </c>
      <c r="F21">
        <f>MIN(F15-1,F18-1)</f>
        <v>49</v>
      </c>
      <c r="M21">
        <v>10</v>
      </c>
      <c r="N21" t="s">
        <v>26</v>
      </c>
      <c r="O21">
        <f>O16*O18/O20</f>
        <v>178.125</v>
      </c>
    </row>
    <row r="22" spans="4:15" x14ac:dyDescent="0.3">
      <c r="D22">
        <v>10</v>
      </c>
      <c r="E22" t="s">
        <v>13</v>
      </c>
      <c r="F22">
        <f>_xlfn.T.INV.2T(0.05,F21)</f>
        <v>2.0095752371292388</v>
      </c>
      <c r="M22">
        <v>11</v>
      </c>
      <c r="N22" t="s">
        <v>27</v>
      </c>
      <c r="O22">
        <f>O16*O19/O20</f>
        <v>271.875</v>
      </c>
    </row>
    <row r="23" spans="4:15" x14ac:dyDescent="0.3">
      <c r="D23">
        <v>11</v>
      </c>
      <c r="E23" t="s">
        <v>14</v>
      </c>
      <c r="F23" t="str">
        <f>IF(ABS(F20)&gt;F22,"REJECT HO","fail to reject HO")</f>
        <v>REJECT HO</v>
      </c>
      <c r="M23">
        <v>12</v>
      </c>
      <c r="N23" t="s">
        <v>28</v>
      </c>
      <c r="O23">
        <f>O17*O18/O20</f>
        <v>391.875</v>
      </c>
    </row>
    <row r="24" spans="4:15" x14ac:dyDescent="0.3">
      <c r="M24">
        <v>13</v>
      </c>
      <c r="N24" t="s">
        <v>29</v>
      </c>
      <c r="O24">
        <f>O17*O19/O20</f>
        <v>598.125</v>
      </c>
    </row>
    <row r="25" spans="4:15" x14ac:dyDescent="0.3">
      <c r="M25">
        <v>14</v>
      </c>
      <c r="N25" t="s">
        <v>30</v>
      </c>
      <c r="O25">
        <f>(O12-O21)^2/O21</f>
        <v>9.8442982456140342</v>
      </c>
    </row>
    <row r="26" spans="4:15" x14ac:dyDescent="0.3">
      <c r="M26">
        <v>15</v>
      </c>
      <c r="N26" t="s">
        <v>31</v>
      </c>
      <c r="O26">
        <f>(O13-O22)^2/O22</f>
        <v>6.4497126436781613</v>
      </c>
    </row>
    <row r="27" spans="4:15" x14ac:dyDescent="0.3">
      <c r="M27">
        <v>16</v>
      </c>
      <c r="N27" t="s">
        <v>32</v>
      </c>
      <c r="O27">
        <f>(O14-O23)^2/O23</f>
        <v>4.4746810207336525</v>
      </c>
    </row>
    <row r="28" spans="4:15" x14ac:dyDescent="0.3">
      <c r="M28">
        <v>17</v>
      </c>
      <c r="N28" t="s">
        <v>33</v>
      </c>
      <c r="O28">
        <f>(O15-O24)^2/O24</f>
        <v>2.931687565308255</v>
      </c>
    </row>
    <row r="29" spans="4:15" x14ac:dyDescent="0.3">
      <c r="M29">
        <v>18</v>
      </c>
      <c r="N29" t="s">
        <v>34</v>
      </c>
      <c r="O29">
        <f>O25+O26+O27+O28</f>
        <v>23.700379475334103</v>
      </c>
    </row>
    <row r="30" spans="4:15" x14ac:dyDescent="0.3">
      <c r="M30">
        <v>19</v>
      </c>
      <c r="N30" t="s">
        <v>35</v>
      </c>
      <c r="O30">
        <f>(2-1)*(2-1)</f>
        <v>1</v>
      </c>
    </row>
    <row r="31" spans="4:15" x14ac:dyDescent="0.3">
      <c r="M31">
        <v>20</v>
      </c>
      <c r="N31" t="s">
        <v>36</v>
      </c>
      <c r="O31">
        <v>3.84</v>
      </c>
    </row>
    <row r="32" spans="4:15" x14ac:dyDescent="0.3">
      <c r="M32">
        <v>21</v>
      </c>
      <c r="N32" t="s">
        <v>14</v>
      </c>
      <c r="O32" t="str">
        <f>IF(ABS(F20)&gt;F22,"REJECT HO","fail to reject HO")</f>
        <v>REJECT HO</v>
      </c>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statistics assessment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 Sorate</dc:creator>
  <cp:lastModifiedBy>Nisha Sorate</cp:lastModifiedBy>
  <dcterms:created xsi:type="dcterms:W3CDTF">2026-03-10T03:21:49Z</dcterms:created>
  <dcterms:modified xsi:type="dcterms:W3CDTF">2026-03-10T16:28:11Z</dcterms:modified>
</cp:coreProperties>
</file>